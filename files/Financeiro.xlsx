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Como Usar" sheetId="1" state="visible" r:id="rId3"/>
    <sheet name="🏠 Dashboard" sheetId="2" state="visible" r:id="rId4"/>
    <sheet name="💰 Receitas" sheetId="3" state="visible" r:id="rId5"/>
    <sheet name="🧾 Despesas Fixas" sheetId="4" state="visible" r:id="rId6"/>
    <sheet name="🛒 Despesas Variáveis" sheetId="5" state="visible" r:id="rId7"/>
    <sheet name="💳 Cartão Crédito" sheetId="6" state="visible" r:id="rId8"/>
    <sheet name="🎯 Metas" sheetId="7" state="visible" r:id="rId9"/>
    <sheet name="🏦 Reserva Emergência" sheetId="8" state="visible" r:id="rId10"/>
    <sheet name="💎 Investiment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<sst xmlns="http://schemas.openxmlformats.org/spreadsheetml/2006/main" count="236" uniqueCount="162">
  <si>
    <t xml:space="preserve">📖 COMO USAR ESSA PLANILHA EM 5 PASSOS</t>
  </si>
  <si>
    <t xml:space="preserve">01</t>
  </si>
  <si>
    <t xml:space="preserve">💰 Vá na aba RECEITAS e anote tudo que entra no mês — salário, freela, vendas, benefícios. Sem isso, nada funciona.</t>
  </si>
  <si>
    <t xml:space="preserve">02</t>
  </si>
  <si>
    <t xml:space="preserve">🧾 Em DESPESAS FIXAS, liste o que você paga TODO mês: aluguel, internet, plano de saúde, etc.</t>
  </si>
  <si>
    <t xml:space="preserve">03</t>
  </si>
  <si>
    <t xml:space="preserve">🛒 Em DESPESAS VARIÁVEIS, anote os gastos do dia a dia: mercado, restaurante, uber, lazer.</t>
  </si>
  <si>
    <t xml:space="preserve">04</t>
  </si>
  <si>
    <t xml:space="preserve">💳 Tem cartão de crédito? Use a aba CARTÃO. Anote cada compra e parcela — o cartão é o vilão.</t>
  </si>
  <si>
    <t xml:space="preserve">05</t>
  </si>
  <si>
    <t xml:space="preserve">🎯 Defina suas METAS, calcule sua RESERVA DE EMERGÊNCIA e acompanhe seus INVESTIMENTOS.</t>
  </si>
  <si>
    <t xml:space="preserve">⭐</t>
  </si>
  <si>
    <t xml:space="preserve">Volte ao DASHBOARD pra ver seu progresso, % poupado e onde está vazando dinheiro.</t>
  </si>
  <si>
    <t xml:space="preserve">💪 "Quem não controla o pouco, não controla o muito." Comece HOJE.</t>
  </si>
  <si>
    <t xml:space="preserve">MINHA VIDA FINANCEIRA — DASHBOARD MENSAL</t>
  </si>
  <si>
    <t xml:space="preserve">Mês de referência:</t>
  </si>
  <si>
    <t xml:space="preserve">Janeiro/2026</t>
  </si>
  <si>
    <t xml:space="preserve">💵  RECEITA TOTAL</t>
  </si>
  <si>
    <t xml:space="preserve">💸  DESPESA TOTAL</t>
  </si>
  <si>
    <t xml:space="preserve">📊  SALDO DO MÊS</t>
  </si>
  <si>
    <t xml:space="preserve">🎯  % POUPADO</t>
  </si>
  <si>
    <t xml:space="preserve">RESUMO POR CATEGORIA</t>
  </si>
  <si>
    <t xml:space="preserve">Categoria</t>
  </si>
  <si>
    <t xml:space="preserve">Gasto</t>
  </si>
  <si>
    <t xml:space="preserve">% Receita</t>
  </si>
  <si>
    <t xml:space="preserve">META FINANCEIRA</t>
  </si>
  <si>
    <t xml:space="preserve">Atual</t>
  </si>
  <si>
    <t xml:space="preserve">Meta</t>
  </si>
  <si>
    <t xml:space="preserve">Moradia</t>
  </si>
  <si>
    <t xml:space="preserve">Reserva Emergência</t>
  </si>
  <si>
    <t xml:space="preserve">Alimentação</t>
  </si>
  <si>
    <t xml:space="preserve">Viagem dos Sonhos</t>
  </si>
  <si>
    <t xml:space="preserve">Transporte</t>
  </si>
  <si>
    <t xml:space="preserve">Quitar Dívidas</t>
  </si>
  <si>
    <t xml:space="preserve">Lazer</t>
  </si>
  <si>
    <t xml:space="preserve">Investir Mês</t>
  </si>
  <si>
    <t xml:space="preserve">Saúde</t>
  </si>
  <si>
    <t xml:space="preserve">Educação</t>
  </si>
  <si>
    <t xml:space="preserve">Outros</t>
  </si>
  <si>
    <t xml:space="preserve">💡 DICA: Tente a regra 50/30/20 — 50% essencial, 30% lazer, 20% investimento. Você está no caminho!</t>
  </si>
  <si>
    <t xml:space="preserve">💰 RECEITAS DO MÊS</t>
  </si>
  <si>
    <t xml:space="preserve">Anote tudo que entra: salário, freelas, vendas, etc. Não esqueça nada.</t>
  </si>
  <si>
    <t xml:space="preserve">Data</t>
  </si>
  <si>
    <t xml:space="preserve">Descrição</t>
  </si>
  <si>
    <t xml:space="preserve">Valor</t>
  </si>
  <si>
    <t xml:space="preserve">Recebido?</t>
  </si>
  <si>
    <t xml:space="preserve">05/01/2026</t>
  </si>
  <si>
    <t xml:space="preserve">Salário CLT</t>
  </si>
  <si>
    <t xml:space="preserve">Salário</t>
  </si>
  <si>
    <t xml:space="preserve">Sim</t>
  </si>
  <si>
    <t xml:space="preserve">10/01/2026</t>
  </si>
  <si>
    <t xml:space="preserve">Freela design</t>
  </si>
  <si>
    <t xml:space="preserve">Extra</t>
  </si>
  <si>
    <t xml:space="preserve">15/01/2026</t>
  </si>
  <si>
    <t xml:space="preserve">Venda Mercado Livre</t>
  </si>
  <si>
    <t xml:space="preserve">Vendas</t>
  </si>
  <si>
    <t xml:space="preserve">25/01/2026</t>
  </si>
  <si>
    <t xml:space="preserve">Vale Refeição</t>
  </si>
  <si>
    <t xml:space="preserve">Benefício</t>
  </si>
  <si>
    <t xml:space="preserve">30/01/2026</t>
  </si>
  <si>
    <t xml:space="preserve">Cashback cartão</t>
  </si>
  <si>
    <t xml:space="preserve">TOTAL</t>
  </si>
  <si>
    <t xml:space="preserve">🧾 DESPESAS FIXAS</t>
  </si>
  <si>
    <t xml:space="preserve">Aluguel, internet, plano de saúde... contas que vêm todo mês.</t>
  </si>
  <si>
    <t xml:space="preserve">Vencimento</t>
  </si>
  <si>
    <t xml:space="preserve">Pago?</t>
  </si>
  <si>
    <t xml:space="preserve">Aluguel</t>
  </si>
  <si>
    <t xml:space="preserve">Condomínio</t>
  </si>
  <si>
    <t xml:space="preserve">12/01/2026</t>
  </si>
  <si>
    <t xml:space="preserve">Internet 500MB</t>
  </si>
  <si>
    <t xml:space="preserve">Energia elétrica</t>
  </si>
  <si>
    <t xml:space="preserve">18/01/2026</t>
  </si>
  <si>
    <t xml:space="preserve">Água</t>
  </si>
  <si>
    <t xml:space="preserve">20/01/2026</t>
  </si>
  <si>
    <t xml:space="preserve">Plano celular</t>
  </si>
  <si>
    <t xml:space="preserve">Plano de saúde</t>
  </si>
  <si>
    <t xml:space="preserve">Academia</t>
  </si>
  <si>
    <t xml:space="preserve">01/01/2026</t>
  </si>
  <si>
    <t xml:space="preserve">Streaming (Netflix+Spotify)</t>
  </si>
  <si>
    <t xml:space="preserve">Transporte (cartão)</t>
  </si>
  <si>
    <t xml:space="preserve">TOTAL FIXAS</t>
  </si>
  <si>
    <t xml:space="preserve">🛒 DESPESAS VARIÁVEIS</t>
  </si>
  <si>
    <t xml:space="preserve">Mercado, restaurante, uber, lazer — gastos que mudam todo mês.</t>
  </si>
  <si>
    <t xml:space="preserve">Forma Pgto</t>
  </si>
  <si>
    <t xml:space="preserve">03/01/2026</t>
  </si>
  <si>
    <t xml:space="preserve">Mercado mensal</t>
  </si>
  <si>
    <t xml:space="preserve">Débito</t>
  </si>
  <si>
    <t xml:space="preserve">06/01/2026</t>
  </si>
  <si>
    <t xml:space="preserve">Padaria</t>
  </si>
  <si>
    <t xml:space="preserve">Pix</t>
  </si>
  <si>
    <t xml:space="preserve">08/01/2026</t>
  </si>
  <si>
    <t xml:space="preserve">Restaurante c/ namorada</t>
  </si>
  <si>
    <t xml:space="preserve">Crédito</t>
  </si>
  <si>
    <t xml:space="preserve">Uber trabalho</t>
  </si>
  <si>
    <t xml:space="preserve">Cinema</t>
  </si>
  <si>
    <t xml:space="preserve">Farmácia</t>
  </si>
  <si>
    <t xml:space="preserve">Curso online</t>
  </si>
  <si>
    <t xml:space="preserve">22/01/2026</t>
  </si>
  <si>
    <t xml:space="preserve">iFood</t>
  </si>
  <si>
    <t xml:space="preserve">Cabeleireiro</t>
  </si>
  <si>
    <t xml:space="preserve">28/01/2026</t>
  </si>
  <si>
    <t xml:space="preserve">Presente de aniversário</t>
  </si>
  <si>
    <t xml:space="preserve">TOTAL VARIÁVEIS</t>
  </si>
  <si>
    <t xml:space="preserve">💳 CONTROLE DE CARTÃO</t>
  </si>
  <si>
    <t xml:space="preserve">Cuidado: o cartão é o vilão silencioso. Anote TUDO.</t>
  </si>
  <si>
    <t xml:space="preserve">Data Compra</t>
  </si>
  <si>
    <t xml:space="preserve">Parcelas</t>
  </si>
  <si>
    <t xml:space="preserve">Valor Parcela</t>
  </si>
  <si>
    <t xml:space="preserve">Valor Total</t>
  </si>
  <si>
    <t xml:space="preserve">02/01/2026</t>
  </si>
  <si>
    <t xml:space="preserve">Tênis novo</t>
  </si>
  <si>
    <t xml:space="preserve">Vestuário</t>
  </si>
  <si>
    <t xml:space="preserve">Mercado</t>
  </si>
  <si>
    <t xml:space="preserve">Streaming anual</t>
  </si>
  <si>
    <t xml:space="preserve">Curso premium</t>
  </si>
  <si>
    <t xml:space="preserve">Restaurante</t>
  </si>
  <si>
    <t xml:space="preserve">FATURA TOTAL</t>
  </si>
  <si>
    <t xml:space="preserve">⚠️ ALERTA: Soma das parcelas vai pro Dashboard. Cuidado com parcelados — eles travam seu caixa por meses.</t>
  </si>
  <si>
    <t xml:space="preserve">🎯 METAS FINANCEIRAS</t>
  </si>
  <si>
    <t xml:space="preserve">Meta sem prazo é desejo. Coloque DATA e VALOR.</t>
  </si>
  <si>
    <t xml:space="preserve">Prazo</t>
  </si>
  <si>
    <t xml:space="preserve">Valor Atual</t>
  </si>
  <si>
    <t xml:space="preserve">Valor Alvo</t>
  </si>
  <si>
    <t xml:space="preserve">Progresso</t>
  </si>
  <si>
    <t xml:space="preserve">Falta Guardar/Mês</t>
  </si>
  <si>
    <t xml:space="preserve">Viagem dos Sonhos (Europa)</t>
  </si>
  <si>
    <t xml:space="preserve">Dez/2026</t>
  </si>
  <si>
    <t xml:space="preserve">Quitar dívida do cartão</t>
  </si>
  <si>
    <t xml:space="preserve">Jun/2026</t>
  </si>
  <si>
    <t xml:space="preserve">Trocar de notebook</t>
  </si>
  <si>
    <t xml:space="preserve">Out/2026</t>
  </si>
  <si>
    <t xml:space="preserve">Curso de pós-graduação</t>
  </si>
  <si>
    <t xml:space="preserve">Mar/2027</t>
  </si>
  <si>
    <t xml:space="preserve">Carro novo (entrada)</t>
  </si>
  <si>
    <t xml:space="preserve">Dez/2027</t>
  </si>
  <si>
    <t xml:space="preserve">🏦 CALCULADORA — RESERVA DE EMERGÊNCIA</t>
  </si>
  <si>
    <t xml:space="preserve">O primeiro passo de QUEM se organiza: 6 meses de despesa guardados.</t>
  </si>
  <si>
    <t xml:space="preserve">Sua despesa MENSAL média</t>
  </si>
  <si>
    <t xml:space="preserve">Quantos meses quer guardar</t>
  </si>
  <si>
    <t xml:space="preserve">VALOR DA RESERVA IDEAL</t>
  </si>
  <si>
    <t xml:space="preserve">Quanto você JÁ tem guardado</t>
  </si>
  <si>
    <t xml:space="preserve">Quanto FALTA guardar</t>
  </si>
  <si>
    <t xml:space="preserve">Em quantos meses quer juntar</t>
  </si>
  <si>
    <t xml:space="preserve">GUARDE POR MÊS</t>
  </si>
  <si>
    <t xml:space="preserve">📌 Como funciona:
• Reserva de emergência = 6x sua despesa mensal
• Guarde em renda fixa com liquidez diária (CDB liquidez D+0, Tesouro Selic)
• Só use em EMERGÊNCIAS reais: desemprego, saúde, imprevistos
• Antes de investir em outras coisas, COMPLETE a reserva</t>
  </si>
  <si>
    <t xml:space="preserve">💎 MEUS INVESTIMENTOS</t>
  </si>
  <si>
    <t xml:space="preserve">Acompanhe onde seu dinheiro está rendendo. Diversifique sempre.</t>
  </si>
  <si>
    <t xml:space="preserve">Ativo</t>
  </si>
  <si>
    <t xml:space="preserve">Tipo</t>
  </si>
  <si>
    <t xml:space="preserve">Valor Investido</t>
  </si>
  <si>
    <t xml:space="preserve">Rentab. Mês</t>
  </si>
  <si>
    <t xml:space="preserve">Rendimento</t>
  </si>
  <si>
    <t xml:space="preserve">Tesouro Selic 2029</t>
  </si>
  <si>
    <t xml:space="preserve">Renda Fixa</t>
  </si>
  <si>
    <t xml:space="preserve">CDB Banco XP</t>
  </si>
  <si>
    <t xml:space="preserve">Fundo Imobiliário HGLG11</t>
  </si>
  <si>
    <t xml:space="preserve">FII</t>
  </si>
  <si>
    <t xml:space="preserve">Ações ITSA4</t>
  </si>
  <si>
    <t xml:space="preserve">Ações</t>
  </si>
  <si>
    <t xml:space="preserve">BTC (cripto)</t>
  </si>
  <si>
    <t xml:space="preserve">Cripto</t>
  </si>
  <si>
    <t xml:space="preserve">TOTAL INVESTIDO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</si>
</sst>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[RED]&quot;(R$ &quot;#,##0.00\);\-"/>
    <numFmt numFmtId="166" formatCode="0.0%"/>
    <numFmt numFmtId="167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3"/>
      <color rgb="FF0F1B3C"/>
      <name val="Arial"/>
      <family val="0"/>
      <charset val="1"/>
    </font>
    <font>
      <b val="true"/>
      <i val="true"/>
      <sz val="16"/>
      <color rgb="FFFFFFFF"/>
      <name val="Arial"/>
      <family val="0"/>
      <charset val="1"/>
    </font>
    <font>
      <b val="true"/>
      <sz val="12"/>
      <color rgb="FF0F1B3C"/>
      <name val="Arial"/>
      <family val="0"/>
      <charset val="1"/>
    </font>
    <font>
      <b val="true"/>
      <sz val="14"/>
      <color rgb="FFE85D2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1F8B6E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0F1B3C"/>
      <name val="Arial"/>
      <family val="0"/>
      <charset val="1"/>
    </font>
    <font>
      <b val="true"/>
      <sz val="20"/>
      <color rgb="FFE85D2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F1B3C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i val="true"/>
      <sz val="11"/>
      <color rgb="FF0F1B3C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i val="true"/>
      <sz val="12"/>
      <color rgb="FF0F1B3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8B6E"/>
      <name val="Arial"/>
      <family val="0"/>
      <charset val="1"/>
    </font>
    <font>
      <b val="true"/>
      <sz val="11"/>
      <color rgb="FFE85D2C"/>
      <name val="Arial"/>
      <family val="0"/>
      <charset val="1"/>
    </font>
    <font>
      <b val="true"/>
      <sz val="14"/>
      <color rgb="FF0F1B3C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4"/>
      <color rgb="FF1F8B6E"/>
      <name val="Arial"/>
      <family val="0"/>
      <charset val="1"/>
    </font>
    <font>
      <sz val="11"/>
      <color rgb="FF0F1B3C"/>
      <name val="Arial"/>
      <family val="0"/>
      <charset val="1"/>
    </font>
    <font>
      <b val="true"/>
      <sz val="14"/>
      <color rgb="FFFFD14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B3C"/>
        <bgColor rgb="FF333333"/>
      </patternFill>
    </fill>
    <fill>
      <patternFill patternType="solid">
        <fgColor rgb="FFE85D2C"/>
        <bgColor rgb="FFC0392B"/>
      </patternFill>
    </fill>
    <fill>
      <patternFill patternType="solid">
        <fgColor rgb="FFFFF8EE"/>
        <bgColor rgb="FFFFFFFF"/>
      </patternFill>
    </fill>
    <fill>
      <patternFill patternType="solid">
        <fgColor rgb="FF1F8B6E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FF8EE"/>
      </patternFill>
    </fill>
    <fill>
      <patternFill patternType="solid">
        <fgColor rgb="FFFFD140"/>
        <bgColor rgb="FFFFFF00"/>
      </patternFill>
    </fill>
    <fill>
      <patternFill patternType="solid">
        <fgColor rgb="FFE2F0E8"/>
        <bgColor rgb="FFF4EFE6"/>
      </patternFill>
    </fill>
    <fill>
      <patternFill patternType="solid">
        <fgColor rgb="FFD6DBE8"/>
        <bgColor rgb="FFE2F0E8"/>
      </patternFill>
    </fill>
    <fill>
      <patternFill patternType="solid">
        <fgColor rgb="FFFCE4D6"/>
        <bgColor rgb="FFF9DCD7"/>
      </patternFill>
    </fill>
    <fill>
      <patternFill patternType="solid">
        <fgColor rgb="FFF9DCD7"/>
        <bgColor rgb="FFFCE4D6"/>
      </patternFill>
    </fill>
    <fill>
      <patternFill patternType="solid">
        <fgColor rgb="FFF4EFE6"/>
        <bgColor rgb="FFFFF8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EE"/>
      <rgbColor rgb="FFE2F0E8"/>
      <rgbColor rgb="FF660066"/>
      <rgbColor rgb="FFFF8080"/>
      <rgbColor rgb="FF0066CC"/>
      <rgbColor rgb="FFD6DB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EFE6"/>
      <rgbColor rgb="FFCCFFCC"/>
      <rgbColor rgb="FFFCE4D6"/>
      <rgbColor rgb="FF99CCFF"/>
      <rgbColor rgb="FFFF99CC"/>
      <rgbColor rgb="FFCC99FF"/>
      <rgbColor rgb="FFF9DCD7"/>
      <rgbColor rgb="FF3366FF"/>
      <rgbColor rgb="FF33CCCC"/>
      <rgbColor rgb="FF99CC00"/>
      <rgbColor rgb="FFFFD140"/>
      <rgbColor rgb="FFFF9900"/>
      <rgbColor rgb="FFE85D2C"/>
      <rgbColor rgb="FF555555"/>
      <rgbColor rgb="FF969696"/>
      <rgbColor rgb="FF0F1B3C"/>
      <rgbColor rgb="FF1F8B6E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7.5" hidden="false" customHeight="true" outlineLevel="0" collapsed="false">
      <c r="A1" s="1" t="s">
        <v>0</v>
      </c>
      <c r="B1" s="1"/>
      <c r="C1" s="1"/>
      <c r="D1" s="1"/>
    </row>
    <row r="3" customFormat="false" ht="60" hidden="false" customHeight="true" outlineLevel="0" collapsed="false">
      <c r="B3" s="2" t="s">
        <v>1</v>
      </c>
      <c r="C3" s="3" t="s">
        <v>2</v>
      </c>
    </row>
    <row r="5" customFormat="false" ht="60" hidden="false" customHeight="true" outlineLevel="0" collapsed="false">
      <c r="B5" s="2" t="s">
        <v>3</v>
      </c>
      <c r="C5" s="3" t="s">
        <v>4</v>
      </c>
    </row>
    <row r="7" customFormat="false" ht="60" hidden="false" customHeight="true" outlineLevel="0" collapsed="false">
      <c r="B7" s="2" t="s">
        <v>5</v>
      </c>
      <c r="C7" s="3" t="s">
        <v>6</v>
      </c>
    </row>
    <row r="9" customFormat="false" ht="60" hidden="false" customHeight="true" outlineLevel="0" collapsed="false">
      <c r="B9" s="2" t="s">
        <v>7</v>
      </c>
      <c r="C9" s="3" t="s">
        <v>8</v>
      </c>
    </row>
    <row r="11" customFormat="false" ht="60" hidden="false" customHeight="true" outlineLevel="0" collapsed="false">
      <c r="B11" s="2" t="s">
        <v>9</v>
      </c>
      <c r="C11" s="3" t="s">
        <v>10</v>
      </c>
    </row>
    <row r="13" customFormat="false" ht="60" hidden="false" customHeight="true" outlineLevel="0" collapsed="false">
      <c r="B13" s="2" t="s">
        <v>11</v>
      </c>
      <c r="C13" s="3" t="s">
        <v>12</v>
      </c>
    </row>
    <row r="16" customFormat="false" ht="49.5" hidden="false" customHeight="true" outlineLevel="0" collapsed="false">
      <c r="B16" s="4" t="s">
        <v>13</v>
      </c>
      <c r="C16" s="4"/>
    </row>
  </sheetData>
  <mergeCells count="2">
    <mergeCell ref="A1:D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"/>
    <col collapsed="false" customWidth="true" hidden="false" outlineLevel="0" max="4" min="4" style="0" width="18"/>
    <col collapsed="false" customWidth="true" hidden="false" outlineLevel="0" max="5" min="5" style="0" width="2"/>
    <col collapsed="false" customWidth="true" hidden="false" outlineLevel="0" max="6" min="6" style="0" width="18"/>
    <col collapsed="false" customWidth="true" hidden="false" outlineLevel="0" max="7" min="7" style="0" width="2"/>
    <col collapsed="false" customWidth="true" hidden="false" outlineLevel="0" max="8" min="8" style="0" width="18"/>
  </cols>
  <sheetData>
    <row r="1" customFormat="false" ht="37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2" customFormat="false" ht="7.5" hidden="false" customHeight="true" outlineLevel="0" collapsed="false"/>
    <row r="3" customFormat="false" ht="27.75" hidden="false" customHeight="true" outlineLevel="0" collapsed="false">
      <c r="B3" s="5" t="s">
        <v>15</v>
      </c>
      <c r="D3" s="6" t="s">
        <v>16</v>
      </c>
    </row>
    <row r="5" customFormat="false" ht="27.75" hidden="false" customHeight="true" outlineLevel="0" collapsed="false">
      <c r="B5" s="7" t="s">
        <v>17</v>
      </c>
      <c r="D5" s="8" t="s">
        <v>18</v>
      </c>
      <c r="F5" s="9" t="s">
        <v>19</v>
      </c>
      <c r="H5" s="10" t="s">
        <v>20</v>
      </c>
    </row>
    <row r="6" customFormat="false" ht="49.5" hidden="false" customHeight="true" outlineLevel="0" collapsed="false">
      <c r="B6" s="11" t="n">
        <f aca="false">SUM('💰 Receitas'!D:D)</f>
        <v>9530</v>
      </c>
      <c r="D6" s="12" t="n">
        <f aca="false">SUM('🧾 Despesas Fixas'!D:D)+SUM('🛒 Despesas Variáveis'!D:D)+SUM('💳 Cartão Crédito'!E:E)</f>
        <v>10407.48</v>
      </c>
      <c r="F6" s="13" t="n">
        <f aca="false">B6-D6</f>
        <v>-877.48</v>
      </c>
      <c r="H6" s="14" t="n">
        <f aca="false">IFERROR(F6/B6,0)</f>
        <v>-0.0920755508919202</v>
      </c>
    </row>
    <row r="7" customFormat="false" ht="12" hidden="false" customHeight="true" outlineLevel="0" collapsed="false"/>
    <row r="8" customFormat="false" ht="37.5" hidden="false" customHeight="true" outlineLevel="0" collapsed="false">
      <c r="A8" s="15" t="s">
        <v>21</v>
      </c>
      <c r="B8" s="15"/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B9" s="16"/>
      <c r="C9" s="16"/>
      <c r="D9" s="16"/>
      <c r="F9" s="16"/>
      <c r="G9" s="16"/>
      <c r="H9" s="16"/>
    </row>
    <row r="10" customFormat="false" ht="24" hidden="false" customHeight="true" outlineLevel="0" collapsed="false">
      <c r="B10" s="9" t="s">
        <v>22</v>
      </c>
      <c r="C10" s="9" t="s">
        <v>23</v>
      </c>
      <c r="D10" s="9" t="s">
        <v>24</v>
      </c>
      <c r="F10" s="9" t="s">
        <v>25</v>
      </c>
      <c r="G10" s="9" t="s">
        <v>26</v>
      </c>
      <c r="H10" s="9" t="s">
        <v>27</v>
      </c>
    </row>
    <row r="11" customFormat="false" ht="26.85" hidden="false" customHeight="false" outlineLevel="0" collapsed="false">
      <c r="B11" s="17" t="s">
        <v>28</v>
      </c>
      <c r="C11" s="18" t="n">
        <f aca="false">SUMIF('🧾 Despesas Fixas'!C:C,B11,'🧾 Despesas Fixas'!D:D)</f>
        <v>2064</v>
      </c>
      <c r="D11" s="19" t="n">
        <f aca="false">IFERROR(C11/$B$6,0)</f>
        <v>0.216579223504722</v>
      </c>
      <c r="F11" s="17" t="s">
        <v>29</v>
      </c>
      <c r="G11" s="20" t="n">
        <f aca="false">'🏦 Reserva Emergência'!C8</f>
        <v>1500</v>
      </c>
      <c r="H11" s="20" t="n">
        <f aca="false">'🏦 Reserva Emergência'!C5</f>
        <v>6</v>
      </c>
    </row>
    <row r="12" customFormat="false" ht="26.85" hidden="false" customHeight="false" outlineLevel="0" collapsed="false">
      <c r="B12" s="21" t="s">
        <v>30</v>
      </c>
      <c r="C12" s="22" t="n">
        <f aca="false">SUMIF('🛒 Despesas Variáveis'!C:C,B12,'🛒 Despesas Variáveis'!D:D)</f>
        <v>910</v>
      </c>
      <c r="D12" s="23" t="n">
        <f aca="false">IFERROR(C12/$B$6,0)</f>
        <v>0.0954879328436516</v>
      </c>
      <c r="F12" s="21" t="s">
        <v>31</v>
      </c>
      <c r="G12" s="24" t="n">
        <f aca="false">'🎯 Metas'!C5</f>
        <v>2500</v>
      </c>
      <c r="H12" s="24" t="n">
        <f aca="false">'🎯 Metas'!D5</f>
        <v>18000</v>
      </c>
    </row>
    <row r="13" customFormat="false" ht="15" hidden="false" customHeight="false" outlineLevel="0" collapsed="false">
      <c r="B13" s="17" t="s">
        <v>32</v>
      </c>
      <c r="C13" s="18" t="n">
        <f aca="false">SUMIF('🛒 Despesas Variáveis'!C:C,B13,'🛒 Despesas Variáveis'!D:D)+SUMIF('🧾 Despesas Fixas'!C:C,B13,'🧾 Despesas Fixas'!D:D)</f>
        <v>335</v>
      </c>
      <c r="D13" s="19" t="n">
        <f aca="false">IFERROR(C13/$B$6,0)</f>
        <v>0.0351521511017838</v>
      </c>
      <c r="F13" s="17" t="s">
        <v>33</v>
      </c>
      <c r="G13" s="20" t="n">
        <f aca="false">'🎯 Metas'!C6</f>
        <v>800</v>
      </c>
      <c r="H13" s="20" t="n">
        <f aca="false">'🎯 Metas'!D6</f>
        <v>4500</v>
      </c>
    </row>
    <row r="14" customFormat="false" ht="15" hidden="false" customHeight="false" outlineLevel="0" collapsed="false">
      <c r="B14" s="21" t="s">
        <v>34</v>
      </c>
      <c r="C14" s="22" t="n">
        <f aca="false">SUMIF('🛒 Despesas Variáveis'!C:C,B14,'🛒 Despesas Variáveis'!D:D)</f>
        <v>60</v>
      </c>
      <c r="D14" s="23" t="n">
        <f aca="false">IFERROR(C14/$B$6,0)</f>
        <v>0.00629590766002099</v>
      </c>
      <c r="F14" s="21" t="s">
        <v>35</v>
      </c>
      <c r="G14" s="24" t="n">
        <f aca="false">'💎 Investimentos'!C13</f>
        <v>5100</v>
      </c>
      <c r="H14" s="24" t="n">
        <f aca="false">B6*0.2</f>
        <v>1906</v>
      </c>
    </row>
    <row r="15" customFormat="false" ht="15" hidden="false" customHeight="false" outlineLevel="0" collapsed="false">
      <c r="B15" s="17" t="s">
        <v>36</v>
      </c>
      <c r="C15" s="18" t="n">
        <f aca="false">SUMIF('🛒 Despesas Variáveis'!C:C,B15,'🛒 Despesas Variáveis'!D:D)+SUMIF('🧾 Despesas Fixas'!C:C,B15,'🧾 Despesas Fixas'!D:D)</f>
        <v>605</v>
      </c>
      <c r="D15" s="19" t="n">
        <f aca="false">IFERROR(C15/$B$6,0)</f>
        <v>0.0634837355718783</v>
      </c>
    </row>
    <row r="16" customFormat="false" ht="15" hidden="false" customHeight="false" outlineLevel="0" collapsed="false">
      <c r="B16" s="21" t="s">
        <v>37</v>
      </c>
      <c r="C16" s="22" t="n">
        <f aca="false">SUMIF('🛒 Despesas Variáveis'!C:C,B16,'🛒 Despesas Variáveis'!D:D)+SUMIF('🧾 Despesas Fixas'!C:C,B16,'🧾 Despesas Fixas'!D:D)</f>
        <v>147</v>
      </c>
      <c r="D16" s="23" t="n">
        <f aca="false">IFERROR(C16/$B$6,0)</f>
        <v>0.0154249737670514</v>
      </c>
    </row>
    <row r="17" customFormat="false" ht="15" hidden="false" customHeight="false" outlineLevel="0" collapsed="false">
      <c r="B17" s="17" t="s">
        <v>38</v>
      </c>
      <c r="C17" s="18" t="n">
        <f aca="false">SUMIF('🛒 Despesas Variáveis'!C:C,B17,'🛒 Despesas Variáveis'!D:D)</f>
        <v>220</v>
      </c>
      <c r="D17" s="19" t="n">
        <f aca="false">IFERROR(C17/$B$6,0)</f>
        <v>0.0230849947534103</v>
      </c>
    </row>
    <row r="19" customFormat="false" ht="12" hidden="false" customHeight="true" outlineLevel="0" collapsed="false"/>
    <row r="20" customFormat="false" ht="31.5" hidden="false" customHeight="true" outlineLevel="0" collapsed="false">
      <c r="B20" s="25" t="s">
        <v>39</v>
      </c>
      <c r="C20" s="25"/>
      <c r="D20" s="25"/>
      <c r="E20" s="25"/>
      <c r="F20" s="25"/>
      <c r="G20" s="25"/>
      <c r="H20" s="25"/>
    </row>
  </sheetData>
  <mergeCells count="5">
    <mergeCell ref="A1:H1"/>
    <mergeCell ref="A8:H8"/>
    <mergeCell ref="B9:D9"/>
    <mergeCell ref="F9:H9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7.5" hidden="false" customHeight="true" outlineLevel="0" collapsed="false">
      <c r="A1" s="26" t="s">
        <v>40</v>
      </c>
      <c r="B1" s="26"/>
      <c r="C1" s="26"/>
      <c r="D1" s="26"/>
      <c r="E1" s="26"/>
    </row>
    <row r="2" customFormat="false" ht="24" hidden="false" customHeight="true" outlineLevel="0" collapsed="false">
      <c r="A2" s="27" t="s">
        <v>41</v>
      </c>
      <c r="B2" s="27"/>
      <c r="C2" s="27"/>
      <c r="D2" s="27"/>
      <c r="E2" s="27"/>
    </row>
    <row r="4" customFormat="false" ht="27.75" hidden="false" customHeight="true" outlineLevel="0" collapsed="false">
      <c r="A4" s="28" t="s">
        <v>42</v>
      </c>
      <c r="B4" s="28" t="s">
        <v>43</v>
      </c>
      <c r="C4" s="28" t="s">
        <v>22</v>
      </c>
      <c r="D4" s="28" t="s">
        <v>44</v>
      </c>
      <c r="E4" s="28" t="s">
        <v>45</v>
      </c>
    </row>
    <row r="5" customFormat="false" ht="15" hidden="false" customHeight="false" outlineLevel="0" collapsed="false">
      <c r="A5" s="29" t="s">
        <v>46</v>
      </c>
      <c r="B5" s="30" t="s">
        <v>47</v>
      </c>
      <c r="C5" s="29" t="s">
        <v>48</v>
      </c>
      <c r="D5" s="18" t="n">
        <v>3500</v>
      </c>
      <c r="E5" s="29" t="s">
        <v>49</v>
      </c>
    </row>
    <row r="6" customFormat="false" ht="15" hidden="false" customHeight="false" outlineLevel="0" collapsed="false">
      <c r="A6" s="31" t="s">
        <v>50</v>
      </c>
      <c r="B6" s="32" t="s">
        <v>51</v>
      </c>
      <c r="C6" s="31" t="s">
        <v>52</v>
      </c>
      <c r="D6" s="22" t="n">
        <v>450</v>
      </c>
      <c r="E6" s="31" t="s">
        <v>49</v>
      </c>
    </row>
    <row r="7" customFormat="false" ht="15" hidden="false" customHeight="false" outlineLevel="0" collapsed="false">
      <c r="A7" s="29" t="s">
        <v>53</v>
      </c>
      <c r="B7" s="30" t="s">
        <v>54</v>
      </c>
      <c r="C7" s="29" t="s">
        <v>55</v>
      </c>
      <c r="D7" s="18" t="n">
        <v>180</v>
      </c>
      <c r="E7" s="29" t="s">
        <v>49</v>
      </c>
    </row>
    <row r="8" customFormat="false" ht="15" hidden="false" customHeight="false" outlineLevel="0" collapsed="false">
      <c r="A8" s="31" t="s">
        <v>56</v>
      </c>
      <c r="B8" s="32" t="s">
        <v>57</v>
      </c>
      <c r="C8" s="31" t="s">
        <v>58</v>
      </c>
      <c r="D8" s="22" t="n">
        <v>600</v>
      </c>
      <c r="E8" s="31" t="s">
        <v>49</v>
      </c>
    </row>
    <row r="9" customFormat="false" ht="15" hidden="false" customHeight="false" outlineLevel="0" collapsed="false">
      <c r="A9" s="29" t="s">
        <v>59</v>
      </c>
      <c r="B9" s="30" t="s">
        <v>60</v>
      </c>
      <c r="C9" s="29" t="s">
        <v>38</v>
      </c>
      <c r="D9" s="18" t="n">
        <v>35</v>
      </c>
      <c r="E9" s="29" t="s">
        <v>49</v>
      </c>
    </row>
    <row r="10" customFormat="false" ht="15" hidden="false" customHeight="false" outlineLevel="0" collapsed="false">
      <c r="A10" s="33"/>
      <c r="B10" s="33"/>
      <c r="C10" s="33"/>
      <c r="D10" s="33"/>
      <c r="E10" s="33"/>
    </row>
    <row r="11" customFormat="false" ht="15" hidden="false" customHeight="false" outlineLevel="0" collapsed="false">
      <c r="A11" s="34"/>
      <c r="B11" s="34"/>
      <c r="C11" s="34"/>
      <c r="D11" s="34"/>
      <c r="E11" s="34"/>
    </row>
    <row r="12" customFormat="false" ht="15" hidden="false" customHeight="false" outlineLevel="0" collapsed="false">
      <c r="A12" s="33"/>
      <c r="B12" s="33"/>
      <c r="C12" s="33"/>
      <c r="D12" s="33"/>
      <c r="E12" s="33"/>
    </row>
    <row r="13" customFormat="false" ht="15" hidden="false" customHeight="false" outlineLevel="0" collapsed="false">
      <c r="A13" s="34"/>
      <c r="B13" s="34"/>
      <c r="C13" s="34"/>
      <c r="D13" s="34"/>
      <c r="E13" s="34"/>
    </row>
    <row r="14" customFormat="false" ht="15" hidden="false" customHeight="false" outlineLevel="0" collapsed="false">
      <c r="A14" s="33"/>
      <c r="B14" s="33"/>
      <c r="C14" s="33"/>
      <c r="D14" s="33"/>
      <c r="E14" s="33"/>
    </row>
    <row r="15" customFormat="false" ht="15" hidden="false" customHeight="false" outlineLevel="0" collapsed="false">
      <c r="A15" s="34"/>
      <c r="B15" s="34"/>
      <c r="C15" s="34"/>
      <c r="D15" s="34"/>
      <c r="E15" s="34"/>
    </row>
    <row r="16" customFormat="false" ht="15" hidden="false" customHeight="false" outlineLevel="0" collapsed="false">
      <c r="A16" s="33"/>
      <c r="B16" s="33"/>
      <c r="C16" s="33"/>
      <c r="D16" s="33"/>
      <c r="E16" s="33"/>
    </row>
    <row r="17" customFormat="false" ht="15" hidden="false" customHeight="false" outlineLevel="0" collapsed="false">
      <c r="A17" s="34"/>
      <c r="B17" s="34"/>
      <c r="C17" s="34"/>
      <c r="D17" s="34"/>
      <c r="E17" s="34"/>
    </row>
    <row r="18" customFormat="false" ht="15" hidden="false" customHeight="false" outlineLevel="0" collapsed="false">
      <c r="A18" s="33"/>
      <c r="B18" s="33"/>
      <c r="C18" s="33"/>
      <c r="D18" s="33"/>
      <c r="E18" s="33"/>
    </row>
    <row r="19" customFormat="false" ht="15" hidden="false" customHeight="false" outlineLevel="0" collapsed="false">
      <c r="A19" s="34"/>
      <c r="B19" s="34"/>
      <c r="C19" s="34"/>
      <c r="D19" s="34"/>
      <c r="E19" s="34"/>
    </row>
    <row r="20" customFormat="false" ht="15" hidden="false" customHeight="false" outlineLevel="0" collapsed="false">
      <c r="A20" s="33"/>
      <c r="B20" s="33"/>
      <c r="C20" s="33"/>
      <c r="D20" s="33"/>
      <c r="E20" s="33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2" customFormat="false" ht="15" hidden="false" customHeight="false" outlineLevel="0" collapsed="false">
      <c r="A22" s="33"/>
      <c r="B22" s="33"/>
      <c r="C22" s="33"/>
      <c r="D22" s="33"/>
      <c r="E22" s="33"/>
    </row>
    <row r="23" customFormat="false" ht="15" hidden="false" customHeight="false" outlineLevel="0" collapsed="false">
      <c r="A23" s="34"/>
      <c r="B23" s="34"/>
      <c r="C23" s="34"/>
      <c r="D23" s="34"/>
      <c r="E23" s="34"/>
    </row>
    <row r="24" customFormat="false" ht="15" hidden="false" customHeight="false" outlineLevel="0" collapsed="false">
      <c r="A24" s="33"/>
      <c r="B24" s="33"/>
      <c r="C24" s="33"/>
      <c r="D24" s="33"/>
      <c r="E24" s="33"/>
    </row>
    <row r="25" customFormat="false" ht="15" hidden="false" customHeight="false" outlineLevel="0" collapsed="false">
      <c r="A25" s="34"/>
      <c r="B25" s="34"/>
      <c r="C25" s="34"/>
      <c r="D25" s="34"/>
      <c r="E25" s="34"/>
    </row>
    <row r="26" customFormat="false" ht="15" hidden="false" customHeight="false" outlineLevel="0" collapsed="false">
      <c r="A26" s="33"/>
      <c r="B26" s="33"/>
      <c r="C26" s="33"/>
      <c r="D26" s="33"/>
      <c r="E26" s="33"/>
    </row>
    <row r="27" customFormat="false" ht="15" hidden="false" customHeight="false" outlineLevel="0" collapsed="false">
      <c r="A27" s="34"/>
      <c r="B27" s="34"/>
      <c r="C27" s="34"/>
      <c r="D27" s="34"/>
      <c r="E27" s="34"/>
    </row>
    <row r="28" customFormat="false" ht="15" hidden="false" customHeight="false" outlineLevel="0" collapsed="false">
      <c r="A28" s="33"/>
      <c r="B28" s="33"/>
      <c r="C28" s="33"/>
      <c r="D28" s="33"/>
      <c r="E28" s="33"/>
    </row>
    <row r="29" customFormat="false" ht="15" hidden="false" customHeight="false" outlineLevel="0" collapsed="false">
      <c r="A29" s="34"/>
      <c r="B29" s="34"/>
      <c r="C29" s="34"/>
      <c r="D29" s="34"/>
      <c r="E29" s="34"/>
    </row>
    <row r="30" customFormat="false" ht="31.5" hidden="false" customHeight="true" outlineLevel="0" collapsed="false">
      <c r="A30" s="35" t="s">
        <v>61</v>
      </c>
      <c r="B30" s="35"/>
      <c r="C30" s="35"/>
      <c r="D30" s="36" t="n">
        <f aca="false">SUM(D5:D29)</f>
        <v>4765</v>
      </c>
      <c r="E30" s="37" t="str">
        <f aca="false">COUNTIF(E5:E29,"Sim")&amp;" / "&amp;COUNTA(B5:B29)</f>
        <v>5 / 5</v>
      </c>
    </row>
  </sheetData>
  <mergeCells count="3">
    <mergeCell ref="A1:E1"/>
    <mergeCell ref="A2:E2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7.5" hidden="false" customHeight="true" outlineLevel="0" collapsed="false">
      <c r="A1" s="38" t="s">
        <v>62</v>
      </c>
      <c r="B1" s="38"/>
      <c r="C1" s="38"/>
      <c r="D1" s="38"/>
      <c r="E1" s="38"/>
    </row>
    <row r="2" customFormat="false" ht="24" hidden="false" customHeight="true" outlineLevel="0" collapsed="false">
      <c r="A2" s="39" t="s">
        <v>63</v>
      </c>
      <c r="B2" s="39"/>
      <c r="C2" s="39"/>
      <c r="D2" s="39"/>
      <c r="E2" s="39"/>
    </row>
    <row r="4" customFormat="false" ht="27.75" hidden="false" customHeight="true" outlineLevel="0" collapsed="false">
      <c r="A4" s="28" t="s">
        <v>64</v>
      </c>
      <c r="B4" s="28" t="s">
        <v>43</v>
      </c>
      <c r="C4" s="28" t="s">
        <v>22</v>
      </c>
      <c r="D4" s="28" t="s">
        <v>44</v>
      </c>
      <c r="E4" s="28" t="s">
        <v>65</v>
      </c>
    </row>
    <row r="5" customFormat="false" ht="15" hidden="false" customHeight="false" outlineLevel="0" collapsed="false">
      <c r="A5" s="29" t="s">
        <v>46</v>
      </c>
      <c r="B5" s="30" t="s">
        <v>66</v>
      </c>
      <c r="C5" s="29" t="s">
        <v>28</v>
      </c>
      <c r="D5" s="18" t="n">
        <v>1200</v>
      </c>
      <c r="E5" s="29" t="s">
        <v>49</v>
      </c>
    </row>
    <row r="6" customFormat="false" ht="15" hidden="false" customHeight="false" outlineLevel="0" collapsed="false">
      <c r="A6" s="31" t="s">
        <v>50</v>
      </c>
      <c r="B6" s="32" t="s">
        <v>67</v>
      </c>
      <c r="C6" s="31" t="s">
        <v>28</v>
      </c>
      <c r="D6" s="22" t="n">
        <v>380</v>
      </c>
      <c r="E6" s="31" t="s">
        <v>49</v>
      </c>
    </row>
    <row r="7" customFormat="false" ht="15" hidden="false" customHeight="false" outlineLevel="0" collapsed="false">
      <c r="A7" s="29" t="s">
        <v>68</v>
      </c>
      <c r="B7" s="30" t="s">
        <v>69</v>
      </c>
      <c r="C7" s="29" t="s">
        <v>28</v>
      </c>
      <c r="D7" s="18" t="n">
        <v>110</v>
      </c>
      <c r="E7" s="29" t="s">
        <v>49</v>
      </c>
    </row>
    <row r="8" customFormat="false" ht="15" hidden="false" customHeight="false" outlineLevel="0" collapsed="false">
      <c r="A8" s="31" t="s">
        <v>53</v>
      </c>
      <c r="B8" s="32" t="s">
        <v>70</v>
      </c>
      <c r="C8" s="31" t="s">
        <v>28</v>
      </c>
      <c r="D8" s="22" t="n">
        <v>220</v>
      </c>
      <c r="E8" s="31" t="s">
        <v>49</v>
      </c>
    </row>
    <row r="9" customFormat="false" ht="15" hidden="false" customHeight="false" outlineLevel="0" collapsed="false">
      <c r="A9" s="29" t="s">
        <v>71</v>
      </c>
      <c r="B9" s="30" t="s">
        <v>72</v>
      </c>
      <c r="C9" s="29" t="s">
        <v>28</v>
      </c>
      <c r="D9" s="18" t="n">
        <v>85</v>
      </c>
      <c r="E9" s="29" t="s">
        <v>49</v>
      </c>
    </row>
    <row r="10" customFormat="false" ht="15" hidden="false" customHeight="false" outlineLevel="0" collapsed="false">
      <c r="A10" s="31" t="s">
        <v>73</v>
      </c>
      <c r="B10" s="32" t="s">
        <v>74</v>
      </c>
      <c r="C10" s="31" t="s">
        <v>28</v>
      </c>
      <c r="D10" s="22" t="n">
        <v>69</v>
      </c>
      <c r="E10" s="31" t="s">
        <v>49</v>
      </c>
    </row>
    <row r="11" customFormat="false" ht="15" hidden="false" customHeight="false" outlineLevel="0" collapsed="false">
      <c r="A11" s="29" t="s">
        <v>46</v>
      </c>
      <c r="B11" s="30" t="s">
        <v>75</v>
      </c>
      <c r="C11" s="29" t="s">
        <v>36</v>
      </c>
      <c r="D11" s="18" t="n">
        <v>390</v>
      </c>
      <c r="E11" s="29" t="s">
        <v>49</v>
      </c>
    </row>
    <row r="12" customFormat="false" ht="15" hidden="false" customHeight="false" outlineLevel="0" collapsed="false">
      <c r="A12" s="31" t="s">
        <v>50</v>
      </c>
      <c r="B12" s="32" t="s">
        <v>76</v>
      </c>
      <c r="C12" s="31" t="s">
        <v>36</v>
      </c>
      <c r="D12" s="22" t="n">
        <v>120</v>
      </c>
      <c r="E12" s="31" t="s">
        <v>49</v>
      </c>
    </row>
    <row r="13" customFormat="false" ht="15" hidden="false" customHeight="false" outlineLevel="0" collapsed="false">
      <c r="A13" s="29" t="s">
        <v>77</v>
      </c>
      <c r="B13" s="30" t="s">
        <v>78</v>
      </c>
      <c r="C13" s="29" t="s">
        <v>34</v>
      </c>
      <c r="D13" s="18" t="n">
        <v>60</v>
      </c>
      <c r="E13" s="29" t="s">
        <v>49</v>
      </c>
    </row>
    <row r="14" customFormat="false" ht="15" hidden="false" customHeight="false" outlineLevel="0" collapsed="false">
      <c r="A14" s="31" t="s">
        <v>46</v>
      </c>
      <c r="B14" s="32" t="s">
        <v>79</v>
      </c>
      <c r="C14" s="31" t="s">
        <v>32</v>
      </c>
      <c r="D14" s="22" t="n">
        <v>250</v>
      </c>
      <c r="E14" s="31" t="s">
        <v>49</v>
      </c>
    </row>
    <row r="15" customFormat="false" ht="15" hidden="false" customHeight="false" outlineLevel="0" collapsed="false">
      <c r="A15" s="34"/>
      <c r="B15" s="34"/>
      <c r="C15" s="34"/>
      <c r="D15" s="34"/>
      <c r="E15" s="34"/>
    </row>
    <row r="16" customFormat="false" ht="15" hidden="false" customHeight="false" outlineLevel="0" collapsed="false">
      <c r="A16" s="33"/>
      <c r="B16" s="33"/>
      <c r="C16" s="33"/>
      <c r="D16" s="33"/>
      <c r="E16" s="33"/>
    </row>
    <row r="17" customFormat="false" ht="15" hidden="false" customHeight="false" outlineLevel="0" collapsed="false">
      <c r="A17" s="34"/>
      <c r="B17" s="34"/>
      <c r="C17" s="34"/>
      <c r="D17" s="34"/>
      <c r="E17" s="34"/>
    </row>
    <row r="18" customFormat="false" ht="15" hidden="false" customHeight="false" outlineLevel="0" collapsed="false">
      <c r="A18" s="33"/>
      <c r="B18" s="33"/>
      <c r="C18" s="33"/>
      <c r="D18" s="33"/>
      <c r="E18" s="33"/>
    </row>
    <row r="19" customFormat="false" ht="15" hidden="false" customHeight="false" outlineLevel="0" collapsed="false">
      <c r="A19" s="34"/>
      <c r="B19" s="34"/>
      <c r="C19" s="34"/>
      <c r="D19" s="34"/>
      <c r="E19" s="34"/>
    </row>
    <row r="20" customFormat="false" ht="15" hidden="false" customHeight="false" outlineLevel="0" collapsed="false">
      <c r="A20" s="33"/>
      <c r="B20" s="33"/>
      <c r="C20" s="33"/>
      <c r="D20" s="33"/>
      <c r="E20" s="33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2" customFormat="false" ht="15" hidden="false" customHeight="false" outlineLevel="0" collapsed="false">
      <c r="A22" s="33"/>
      <c r="B22" s="33"/>
      <c r="C22" s="33"/>
      <c r="D22" s="33"/>
      <c r="E22" s="33"/>
    </row>
    <row r="23" customFormat="false" ht="15" hidden="false" customHeight="false" outlineLevel="0" collapsed="false">
      <c r="A23" s="34"/>
      <c r="B23" s="34"/>
      <c r="C23" s="34"/>
      <c r="D23" s="34"/>
      <c r="E23" s="34"/>
    </row>
    <row r="24" customFormat="false" ht="15" hidden="false" customHeight="false" outlineLevel="0" collapsed="false">
      <c r="A24" s="33"/>
      <c r="B24" s="33"/>
      <c r="C24" s="33"/>
      <c r="D24" s="33"/>
      <c r="E24" s="33"/>
    </row>
    <row r="25" customFormat="false" ht="15" hidden="false" customHeight="false" outlineLevel="0" collapsed="false">
      <c r="A25" s="34"/>
      <c r="B25" s="34"/>
      <c r="C25" s="34"/>
      <c r="D25" s="34"/>
      <c r="E25" s="34"/>
    </row>
    <row r="26" customFormat="false" ht="15" hidden="false" customHeight="false" outlineLevel="0" collapsed="false">
      <c r="A26" s="33"/>
      <c r="B26" s="33"/>
      <c r="C26" s="33"/>
      <c r="D26" s="33"/>
      <c r="E26" s="33"/>
    </row>
    <row r="27" customFormat="false" ht="15" hidden="false" customHeight="false" outlineLevel="0" collapsed="false">
      <c r="A27" s="34"/>
      <c r="B27" s="34"/>
      <c r="C27" s="34"/>
      <c r="D27" s="34"/>
      <c r="E27" s="34"/>
    </row>
    <row r="28" customFormat="false" ht="15" hidden="false" customHeight="false" outlineLevel="0" collapsed="false">
      <c r="A28" s="33"/>
      <c r="B28" s="33"/>
      <c r="C28" s="33"/>
      <c r="D28" s="33"/>
      <c r="E28" s="33"/>
    </row>
    <row r="29" customFormat="false" ht="15" hidden="false" customHeight="false" outlineLevel="0" collapsed="false">
      <c r="A29" s="34"/>
      <c r="B29" s="34"/>
      <c r="C29" s="34"/>
      <c r="D29" s="34"/>
      <c r="E29" s="34"/>
    </row>
    <row r="30" customFormat="false" ht="31.5" hidden="false" customHeight="true" outlineLevel="0" collapsed="false">
      <c r="A30" s="40" t="s">
        <v>80</v>
      </c>
      <c r="B30" s="40"/>
      <c r="C30" s="40"/>
      <c r="D30" s="41" t="n">
        <f aca="false">SUM(D5:D29)</f>
        <v>2884</v>
      </c>
      <c r="E30" s="42" t="str">
        <f aca="false">COUNTIF(E5:E29,"Sim")&amp;" / "&amp;COUNTA(B5:B29)</f>
        <v>10 / 10</v>
      </c>
    </row>
  </sheetData>
  <mergeCells count="3">
    <mergeCell ref="A1:E1"/>
    <mergeCell ref="A2:E2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16"/>
  </cols>
  <sheetData>
    <row r="1" customFormat="false" ht="37.5" hidden="false" customHeight="true" outlineLevel="0" collapsed="false">
      <c r="A1" s="43" t="s">
        <v>81</v>
      </c>
      <c r="B1" s="43"/>
      <c r="C1" s="43"/>
      <c r="D1" s="43"/>
      <c r="E1" s="43"/>
    </row>
    <row r="2" customFormat="false" ht="24" hidden="false" customHeight="true" outlineLevel="0" collapsed="false">
      <c r="A2" s="44" t="s">
        <v>82</v>
      </c>
      <c r="B2" s="44"/>
      <c r="C2" s="44"/>
      <c r="D2" s="44"/>
      <c r="E2" s="44"/>
    </row>
    <row r="4" customFormat="false" ht="27.75" hidden="false" customHeight="true" outlineLevel="0" collapsed="false">
      <c r="A4" s="28" t="s">
        <v>42</v>
      </c>
      <c r="B4" s="28" t="s">
        <v>43</v>
      </c>
      <c r="C4" s="28" t="s">
        <v>22</v>
      </c>
      <c r="D4" s="28" t="s">
        <v>44</v>
      </c>
      <c r="E4" s="28" t="s">
        <v>83</v>
      </c>
    </row>
    <row r="5" customFormat="false" ht="15" hidden="false" customHeight="false" outlineLevel="0" collapsed="false">
      <c r="A5" s="29" t="s">
        <v>84</v>
      </c>
      <c r="B5" s="30" t="s">
        <v>85</v>
      </c>
      <c r="C5" s="29" t="s">
        <v>30</v>
      </c>
      <c r="D5" s="18" t="n">
        <v>680</v>
      </c>
      <c r="E5" s="29" t="s">
        <v>86</v>
      </c>
    </row>
    <row r="6" customFormat="false" ht="15" hidden="false" customHeight="false" outlineLevel="0" collapsed="false">
      <c r="A6" s="31" t="s">
        <v>87</v>
      </c>
      <c r="B6" s="32" t="s">
        <v>88</v>
      </c>
      <c r="C6" s="31" t="s">
        <v>30</v>
      </c>
      <c r="D6" s="22" t="n">
        <v>45</v>
      </c>
      <c r="E6" s="31" t="s">
        <v>89</v>
      </c>
    </row>
    <row r="7" customFormat="false" ht="15" hidden="false" customHeight="false" outlineLevel="0" collapsed="false">
      <c r="A7" s="29" t="s">
        <v>90</v>
      </c>
      <c r="B7" s="30" t="s">
        <v>91</v>
      </c>
      <c r="C7" s="29" t="s">
        <v>30</v>
      </c>
      <c r="D7" s="18" t="n">
        <v>130</v>
      </c>
      <c r="E7" s="29" t="s">
        <v>92</v>
      </c>
    </row>
    <row r="8" customFormat="false" ht="15" hidden="false" customHeight="false" outlineLevel="0" collapsed="false">
      <c r="A8" s="31" t="s">
        <v>50</v>
      </c>
      <c r="B8" s="32" t="s">
        <v>93</v>
      </c>
      <c r="C8" s="31" t="s">
        <v>32</v>
      </c>
      <c r="D8" s="22" t="n">
        <v>85</v>
      </c>
      <c r="E8" s="31" t="s">
        <v>89</v>
      </c>
    </row>
    <row r="9" customFormat="false" ht="15" hidden="false" customHeight="false" outlineLevel="0" collapsed="false">
      <c r="A9" s="29" t="s">
        <v>68</v>
      </c>
      <c r="B9" s="30" t="s">
        <v>94</v>
      </c>
      <c r="C9" s="29" t="s">
        <v>34</v>
      </c>
      <c r="D9" s="18" t="n">
        <v>60</v>
      </c>
      <c r="E9" s="29" t="s">
        <v>92</v>
      </c>
    </row>
    <row r="10" customFormat="false" ht="15" hidden="false" customHeight="false" outlineLevel="0" collapsed="false">
      <c r="A10" s="31" t="s">
        <v>53</v>
      </c>
      <c r="B10" s="32" t="s">
        <v>95</v>
      </c>
      <c r="C10" s="31" t="s">
        <v>36</v>
      </c>
      <c r="D10" s="22" t="n">
        <v>95</v>
      </c>
      <c r="E10" s="31" t="s">
        <v>89</v>
      </c>
    </row>
    <row r="11" customFormat="false" ht="15" hidden="false" customHeight="false" outlineLevel="0" collapsed="false">
      <c r="A11" s="29" t="s">
        <v>71</v>
      </c>
      <c r="B11" s="30" t="s">
        <v>96</v>
      </c>
      <c r="C11" s="29" t="s">
        <v>37</v>
      </c>
      <c r="D11" s="18" t="n">
        <v>147</v>
      </c>
      <c r="E11" s="29" t="s">
        <v>92</v>
      </c>
    </row>
    <row r="12" customFormat="false" ht="15" hidden="false" customHeight="false" outlineLevel="0" collapsed="false">
      <c r="A12" s="31" t="s">
        <v>97</v>
      </c>
      <c r="B12" s="32" t="s">
        <v>98</v>
      </c>
      <c r="C12" s="31" t="s">
        <v>30</v>
      </c>
      <c r="D12" s="22" t="n">
        <v>55</v>
      </c>
      <c r="E12" s="31" t="s">
        <v>89</v>
      </c>
    </row>
    <row r="13" customFormat="false" ht="15" hidden="false" customHeight="false" outlineLevel="0" collapsed="false">
      <c r="A13" s="29" t="s">
        <v>56</v>
      </c>
      <c r="B13" s="30" t="s">
        <v>99</v>
      </c>
      <c r="C13" s="29" t="s">
        <v>38</v>
      </c>
      <c r="D13" s="18" t="n">
        <v>70</v>
      </c>
      <c r="E13" s="29" t="s">
        <v>89</v>
      </c>
    </row>
    <row r="14" customFormat="false" ht="15" hidden="false" customHeight="false" outlineLevel="0" collapsed="false">
      <c r="A14" s="31" t="s">
        <v>100</v>
      </c>
      <c r="B14" s="32" t="s">
        <v>101</v>
      </c>
      <c r="C14" s="31" t="s">
        <v>38</v>
      </c>
      <c r="D14" s="22" t="n">
        <v>150</v>
      </c>
      <c r="E14" s="31" t="s">
        <v>92</v>
      </c>
    </row>
    <row r="15" customFormat="false" ht="15" hidden="false" customHeight="false" outlineLevel="0" collapsed="false">
      <c r="A15" s="34"/>
      <c r="B15" s="34"/>
      <c r="C15" s="34"/>
      <c r="D15" s="34"/>
      <c r="E15" s="34"/>
    </row>
    <row r="16" customFormat="false" ht="15" hidden="false" customHeight="false" outlineLevel="0" collapsed="false">
      <c r="A16" s="33"/>
      <c r="B16" s="33"/>
      <c r="C16" s="33"/>
      <c r="D16" s="33"/>
      <c r="E16" s="33"/>
    </row>
    <row r="17" customFormat="false" ht="15" hidden="false" customHeight="false" outlineLevel="0" collapsed="false">
      <c r="A17" s="34"/>
      <c r="B17" s="34"/>
      <c r="C17" s="34"/>
      <c r="D17" s="34"/>
      <c r="E17" s="34"/>
    </row>
    <row r="18" customFormat="false" ht="15" hidden="false" customHeight="false" outlineLevel="0" collapsed="false">
      <c r="A18" s="33"/>
      <c r="B18" s="33"/>
      <c r="C18" s="33"/>
      <c r="D18" s="33"/>
      <c r="E18" s="33"/>
    </row>
    <row r="19" customFormat="false" ht="15" hidden="false" customHeight="false" outlineLevel="0" collapsed="false">
      <c r="A19" s="34"/>
      <c r="B19" s="34"/>
      <c r="C19" s="34"/>
      <c r="D19" s="34"/>
      <c r="E19" s="34"/>
    </row>
    <row r="20" customFormat="false" ht="15" hidden="false" customHeight="false" outlineLevel="0" collapsed="false">
      <c r="A20" s="33"/>
      <c r="B20" s="33"/>
      <c r="C20" s="33"/>
      <c r="D20" s="33"/>
      <c r="E20" s="33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2" customFormat="false" ht="15" hidden="false" customHeight="false" outlineLevel="0" collapsed="false">
      <c r="A22" s="33"/>
      <c r="B22" s="33"/>
      <c r="C22" s="33"/>
      <c r="D22" s="33"/>
      <c r="E22" s="33"/>
    </row>
    <row r="23" customFormat="false" ht="15" hidden="false" customHeight="false" outlineLevel="0" collapsed="false">
      <c r="A23" s="34"/>
      <c r="B23" s="34"/>
      <c r="C23" s="34"/>
      <c r="D23" s="34"/>
      <c r="E23" s="34"/>
    </row>
    <row r="24" customFormat="false" ht="15" hidden="false" customHeight="false" outlineLevel="0" collapsed="false">
      <c r="A24" s="33"/>
      <c r="B24" s="33"/>
      <c r="C24" s="33"/>
      <c r="D24" s="33"/>
      <c r="E24" s="33"/>
    </row>
    <row r="25" customFormat="false" ht="15" hidden="false" customHeight="false" outlineLevel="0" collapsed="false">
      <c r="A25" s="34"/>
      <c r="B25" s="34"/>
      <c r="C25" s="34"/>
      <c r="D25" s="34"/>
      <c r="E25" s="34"/>
    </row>
    <row r="26" customFormat="false" ht="15" hidden="false" customHeight="false" outlineLevel="0" collapsed="false">
      <c r="A26" s="33"/>
      <c r="B26" s="33"/>
      <c r="C26" s="33"/>
      <c r="D26" s="33"/>
      <c r="E26" s="33"/>
    </row>
    <row r="27" customFormat="false" ht="15" hidden="false" customHeight="false" outlineLevel="0" collapsed="false">
      <c r="A27" s="34"/>
      <c r="B27" s="34"/>
      <c r="C27" s="34"/>
      <c r="D27" s="34"/>
      <c r="E27" s="34"/>
    </row>
    <row r="28" customFormat="false" ht="15" hidden="false" customHeight="false" outlineLevel="0" collapsed="false">
      <c r="A28" s="33"/>
      <c r="B28" s="33"/>
      <c r="C28" s="33"/>
      <c r="D28" s="33"/>
      <c r="E28" s="33"/>
    </row>
    <row r="29" customFormat="false" ht="15" hidden="false" customHeight="false" outlineLevel="0" collapsed="false">
      <c r="A29" s="34"/>
      <c r="B29" s="34"/>
      <c r="C29" s="34"/>
      <c r="D29" s="34"/>
      <c r="E29" s="34"/>
    </row>
    <row r="30" customFormat="false" ht="15" hidden="false" customHeight="false" outlineLevel="0" collapsed="false">
      <c r="A30" s="33"/>
      <c r="B30" s="33"/>
      <c r="C30" s="33"/>
      <c r="D30" s="33"/>
      <c r="E30" s="33"/>
    </row>
    <row r="31" customFormat="false" ht="15" hidden="false" customHeight="false" outlineLevel="0" collapsed="false">
      <c r="A31" s="34"/>
      <c r="B31" s="34"/>
      <c r="C31" s="34"/>
      <c r="D31" s="34"/>
      <c r="E31" s="34"/>
    </row>
    <row r="32" customFormat="false" ht="15" hidden="false" customHeight="false" outlineLevel="0" collapsed="false">
      <c r="A32" s="33"/>
      <c r="B32" s="33"/>
      <c r="C32" s="33"/>
      <c r="D32" s="33"/>
      <c r="E32" s="33"/>
    </row>
    <row r="33" customFormat="false" ht="15" hidden="false" customHeight="false" outlineLevel="0" collapsed="false">
      <c r="A33" s="34"/>
      <c r="B33" s="34"/>
      <c r="C33" s="34"/>
      <c r="D33" s="34"/>
      <c r="E33" s="34"/>
    </row>
    <row r="34" customFormat="false" ht="15" hidden="false" customHeight="false" outlineLevel="0" collapsed="false">
      <c r="A34" s="33"/>
      <c r="B34" s="33"/>
      <c r="C34" s="33"/>
      <c r="D34" s="33"/>
      <c r="E34" s="33"/>
    </row>
    <row r="35" customFormat="false" ht="31.5" hidden="false" customHeight="true" outlineLevel="0" collapsed="false">
      <c r="A35" s="15" t="s">
        <v>102</v>
      </c>
      <c r="B35" s="15"/>
      <c r="C35" s="15"/>
      <c r="D35" s="45" t="n">
        <f aca="false">SUM(D5:D34)</f>
        <v>1517</v>
      </c>
      <c r="E35" s="46"/>
    </row>
  </sheetData>
  <mergeCells count="3">
    <mergeCell ref="A1:E1"/>
    <mergeCell ref="A2:E2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37.5" hidden="false" customHeight="true" outlineLevel="0" collapsed="false">
      <c r="A1" s="47" t="s">
        <v>103</v>
      </c>
      <c r="B1" s="47"/>
      <c r="C1" s="47"/>
      <c r="D1" s="47"/>
      <c r="E1" s="47"/>
      <c r="F1" s="47"/>
    </row>
    <row r="2" customFormat="false" ht="24" hidden="false" customHeight="true" outlineLevel="0" collapsed="false">
      <c r="A2" s="48" t="s">
        <v>104</v>
      </c>
      <c r="B2" s="48"/>
      <c r="C2" s="48"/>
      <c r="D2" s="48"/>
      <c r="E2" s="48"/>
      <c r="F2" s="48"/>
    </row>
    <row r="4" customFormat="false" ht="27.75" hidden="false" customHeight="true" outlineLevel="0" collapsed="false">
      <c r="A4" s="28" t="s">
        <v>105</v>
      </c>
      <c r="B4" s="28" t="s">
        <v>43</v>
      </c>
      <c r="C4" s="28" t="s">
        <v>22</v>
      </c>
      <c r="D4" s="28" t="s">
        <v>106</v>
      </c>
      <c r="E4" s="28" t="s">
        <v>107</v>
      </c>
      <c r="F4" s="28" t="s">
        <v>108</v>
      </c>
    </row>
    <row r="5" customFormat="false" ht="15" hidden="false" customHeight="false" outlineLevel="0" collapsed="false">
      <c r="A5" s="29" t="s">
        <v>109</v>
      </c>
      <c r="B5" s="30" t="s">
        <v>110</v>
      </c>
      <c r="C5" s="29" t="s">
        <v>111</v>
      </c>
      <c r="D5" s="29" t="n">
        <v>3</v>
      </c>
      <c r="E5" s="18" t="n">
        <v>99.66</v>
      </c>
      <c r="F5" s="18" t="n">
        <f aca="false">D5*E5</f>
        <v>298.98</v>
      </c>
    </row>
    <row r="6" customFormat="false" ht="15" hidden="false" customHeight="false" outlineLevel="0" collapsed="false">
      <c r="A6" s="31" t="s">
        <v>46</v>
      </c>
      <c r="B6" s="32" t="s">
        <v>112</v>
      </c>
      <c r="C6" s="31" t="s">
        <v>30</v>
      </c>
      <c r="D6" s="31" t="n">
        <v>1</v>
      </c>
      <c r="E6" s="22" t="n">
        <v>420</v>
      </c>
      <c r="F6" s="22" t="n">
        <f aca="false">D6*E6</f>
        <v>420</v>
      </c>
    </row>
    <row r="7" customFormat="false" ht="15" hidden="false" customHeight="false" outlineLevel="0" collapsed="false">
      <c r="A7" s="29" t="s">
        <v>68</v>
      </c>
      <c r="B7" s="30" t="s">
        <v>113</v>
      </c>
      <c r="C7" s="29" t="s">
        <v>34</v>
      </c>
      <c r="D7" s="29" t="n">
        <v>12</v>
      </c>
      <c r="E7" s="18" t="n">
        <v>23.25</v>
      </c>
      <c r="F7" s="18" t="n">
        <f aca="false">D7*E7</f>
        <v>279</v>
      </c>
    </row>
    <row r="8" customFormat="false" ht="15" hidden="false" customHeight="false" outlineLevel="0" collapsed="false">
      <c r="A8" s="31" t="s">
        <v>71</v>
      </c>
      <c r="B8" s="32" t="s">
        <v>114</v>
      </c>
      <c r="C8" s="31" t="s">
        <v>37</v>
      </c>
      <c r="D8" s="31" t="n">
        <v>6</v>
      </c>
      <c r="E8" s="22" t="n">
        <v>79.83</v>
      </c>
      <c r="F8" s="22" t="n">
        <f aca="false">D8*E8</f>
        <v>478.98</v>
      </c>
    </row>
    <row r="9" customFormat="false" ht="15" hidden="false" customHeight="false" outlineLevel="0" collapsed="false">
      <c r="A9" s="29" t="s">
        <v>97</v>
      </c>
      <c r="B9" s="30" t="s">
        <v>115</v>
      </c>
      <c r="C9" s="29" t="s">
        <v>30</v>
      </c>
      <c r="D9" s="29" t="n">
        <v>1</v>
      </c>
      <c r="E9" s="18" t="n">
        <v>180</v>
      </c>
      <c r="F9" s="18" t="n">
        <f aca="false">D9*E9</f>
        <v>180</v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24" t="n">
        <f aca="false">IFERROR(D10*E10,"")</f>
        <v>0</v>
      </c>
    </row>
    <row r="11" customFormat="false" ht="15" hidden="false" customHeight="false" outlineLevel="0" collapsed="false">
      <c r="A11" s="34"/>
      <c r="B11" s="34"/>
      <c r="C11" s="34"/>
      <c r="D11" s="34"/>
      <c r="E11" s="34"/>
      <c r="F11" s="20" t="n">
        <f aca="false">IFERROR(D11*E11,"")</f>
        <v>0</v>
      </c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24" t="n">
        <f aca="false">IFERROR(D12*E12,"")</f>
        <v>0</v>
      </c>
    </row>
    <row r="13" customFormat="false" ht="15" hidden="false" customHeight="false" outlineLevel="0" collapsed="false">
      <c r="A13" s="34"/>
      <c r="B13" s="34"/>
      <c r="C13" s="34"/>
      <c r="D13" s="34"/>
      <c r="E13" s="34"/>
      <c r="F13" s="20" t="n">
        <f aca="false">IFERROR(D13*E13,"")</f>
        <v>0</v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24" t="n">
        <f aca="false">IFERROR(D14*E14,"")</f>
        <v>0</v>
      </c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20" t="n">
        <f aca="false">IFERROR(D15*E15,"")</f>
        <v>0</v>
      </c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24" t="n">
        <f aca="false">IFERROR(D16*E16,"")</f>
        <v>0</v>
      </c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20" t="n">
        <f aca="false">IFERROR(D17*E17,"")</f>
        <v>0</v>
      </c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24" t="n">
        <f aca="false">IFERROR(D18*E18,"")</f>
        <v>0</v>
      </c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20" t="n">
        <f aca="false">IFERROR(D19*E19,"")</f>
        <v>0</v>
      </c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24" t="n">
        <f aca="false">IFERROR(D20*E20,"")</f>
        <v>0</v>
      </c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20" t="n">
        <f aca="false">IFERROR(D21*E21,"")</f>
        <v>0</v>
      </c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24" t="n">
        <f aca="false">IFERROR(D22*E22,"")</f>
        <v>0</v>
      </c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20" t="n">
        <f aca="false">IFERROR(D23*E23,"")</f>
        <v>0</v>
      </c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24" t="n">
        <f aca="false">IFERROR(D24*E24,"")</f>
        <v>0</v>
      </c>
    </row>
    <row r="25" customFormat="false" ht="31.5" hidden="false" customHeight="true" outlineLevel="0" collapsed="false">
      <c r="A25" s="49" t="s">
        <v>116</v>
      </c>
      <c r="B25" s="49"/>
      <c r="C25" s="49"/>
      <c r="D25" s="49"/>
      <c r="E25" s="50" t="n">
        <f aca="false">SUM(E5:E24)</f>
        <v>802.74</v>
      </c>
      <c r="F25" s="51" t="n">
        <f aca="false">SUM(F5:F24)</f>
        <v>1656.96</v>
      </c>
    </row>
    <row r="27" customFormat="false" ht="31.5" hidden="false" customHeight="true" outlineLevel="0" collapsed="false">
      <c r="A27" s="25" t="s">
        <v>117</v>
      </c>
      <c r="B27" s="25"/>
      <c r="C27" s="25"/>
      <c r="D27" s="25"/>
      <c r="E27" s="25"/>
      <c r="F27" s="25"/>
    </row>
  </sheetData>
  <mergeCells count="4">
    <mergeCell ref="A1:F1"/>
    <mergeCell ref="A2:F2"/>
    <mergeCell ref="A25:D25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43" t="s">
        <v>118</v>
      </c>
      <c r="B1" s="43"/>
      <c r="C1" s="43"/>
      <c r="D1" s="43"/>
      <c r="E1" s="43"/>
      <c r="F1" s="43"/>
    </row>
    <row r="2" customFormat="false" ht="24" hidden="false" customHeight="true" outlineLevel="0" collapsed="false">
      <c r="A2" s="44" t="s">
        <v>119</v>
      </c>
      <c r="B2" s="44"/>
      <c r="C2" s="44"/>
      <c r="D2" s="44"/>
      <c r="E2" s="44"/>
      <c r="F2" s="44"/>
    </row>
    <row r="4" customFormat="false" ht="27.75" hidden="false" customHeight="true" outlineLevel="0" collapsed="false">
      <c r="A4" s="28" t="s">
        <v>27</v>
      </c>
      <c r="B4" s="28" t="s">
        <v>120</v>
      </c>
      <c r="C4" s="28" t="s">
        <v>121</v>
      </c>
      <c r="D4" s="28" t="s">
        <v>122</v>
      </c>
      <c r="E4" s="28" t="s">
        <v>123</v>
      </c>
      <c r="F4" s="28" t="s">
        <v>124</v>
      </c>
    </row>
    <row r="5" customFormat="false" ht="15" hidden="false" customHeight="false" outlineLevel="0" collapsed="false">
      <c r="A5" s="30" t="s">
        <v>125</v>
      </c>
      <c r="B5" s="29" t="s">
        <v>126</v>
      </c>
      <c r="C5" s="18" t="n">
        <v>2500</v>
      </c>
      <c r="D5" s="18" t="n">
        <v>18000</v>
      </c>
      <c r="E5" s="52" t="n">
        <f aca="false">IFERROR(C5/D5,0)</f>
        <v>0.138888888888889</v>
      </c>
      <c r="F5" s="53" t="n">
        <f aca="false">IFERROR((D5-C5)/12,0)</f>
        <v>1291.66666666667</v>
      </c>
    </row>
    <row r="6" customFormat="false" ht="15" hidden="false" customHeight="false" outlineLevel="0" collapsed="false">
      <c r="A6" s="32" t="s">
        <v>127</v>
      </c>
      <c r="B6" s="31" t="s">
        <v>128</v>
      </c>
      <c r="C6" s="22" t="n">
        <v>800</v>
      </c>
      <c r="D6" s="22" t="n">
        <v>4500</v>
      </c>
      <c r="E6" s="54" t="n">
        <f aca="false">IFERROR(C6/D6,0)</f>
        <v>0.177777777777778</v>
      </c>
      <c r="F6" s="55" t="n">
        <f aca="false">IFERROR((D6-C6)/6,0)</f>
        <v>616.666666666667</v>
      </c>
    </row>
    <row r="7" customFormat="false" ht="15" hidden="false" customHeight="false" outlineLevel="0" collapsed="false">
      <c r="A7" s="30" t="s">
        <v>129</v>
      </c>
      <c r="B7" s="29" t="s">
        <v>130</v>
      </c>
      <c r="C7" s="18" t="n">
        <v>500</v>
      </c>
      <c r="D7" s="18" t="n">
        <v>6000</v>
      </c>
      <c r="E7" s="52" t="n">
        <f aca="false">IFERROR(C7/D7,0)</f>
        <v>0.0833333333333333</v>
      </c>
      <c r="F7" s="53" t="n">
        <f aca="false">IFERROR((D7-C7)/10,0)</f>
        <v>550</v>
      </c>
    </row>
    <row r="8" customFormat="false" ht="15" hidden="false" customHeight="false" outlineLevel="0" collapsed="false">
      <c r="A8" s="32" t="s">
        <v>131</v>
      </c>
      <c r="B8" s="31" t="s">
        <v>132</v>
      </c>
      <c r="C8" s="22" t="n">
        <v>0</v>
      </c>
      <c r="D8" s="22" t="n">
        <v>12000</v>
      </c>
      <c r="E8" s="54" t="n">
        <f aca="false">IFERROR(C8/D8,0)</f>
        <v>0</v>
      </c>
      <c r="F8" s="55" t="n">
        <f aca="false">IFERROR((D8-C8)/14,0)</f>
        <v>857.142857142857</v>
      </c>
    </row>
    <row r="9" customFormat="false" ht="15" hidden="false" customHeight="false" outlineLevel="0" collapsed="false">
      <c r="A9" s="30" t="s">
        <v>133</v>
      </c>
      <c r="B9" s="29" t="s">
        <v>134</v>
      </c>
      <c r="C9" s="18" t="n">
        <v>1200</v>
      </c>
      <c r="D9" s="18" t="n">
        <v>25000</v>
      </c>
      <c r="E9" s="52" t="n">
        <f aca="false">IFERROR(C9/D9,0)</f>
        <v>0.048</v>
      </c>
      <c r="F9" s="53" t="n">
        <f aca="false">IFERROR((D9-C9)/24,0)</f>
        <v>991.666666666667</v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</row>
    <row r="11" customFormat="false" ht="15" hidden="false" customHeight="false" outlineLevel="0" collapsed="false">
      <c r="A11" s="34"/>
      <c r="B11" s="34"/>
      <c r="C11" s="34"/>
      <c r="D11" s="34"/>
      <c r="E11" s="34"/>
      <c r="F11" s="34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</row>
    <row r="13" customFormat="false" ht="15" hidden="false" customHeight="false" outlineLevel="0" collapsed="false">
      <c r="A13" s="34"/>
      <c r="B13" s="34"/>
      <c r="C13" s="34"/>
      <c r="D13" s="34"/>
      <c r="E13" s="34"/>
      <c r="F13" s="34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</row>
  </sheetData>
  <mergeCells count="2">
    <mergeCell ref="A1:F1"/>
    <mergeCell ref="A2:F2"/>
  </mergeCells>
  <conditionalFormatting sqref="E5:E17">
    <cfRule type="dataBar" priority="2">
      <dataBar showValue="1" minLength="10" maxLength="90">
        <cfvo type="num" val="0"/>
        <cfvo type="num" val="1"/>
        <color rgb="FF1F8B6E"/>
      </dataBar>
      <extLst>
        <ext xmlns:x14="http://schemas.microsoft.com/office/spreadsheetml/2009/9/main" uri="{B025F937-C7B1-47D3-B67F-A62EFF666E3E}">
          <x14:id>{602D7EB1-F325-4BB2-8F16-D6A88C84419D}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2D7EB1-F325-4BB2-8F16-D6A88C84419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8B6E"/>
              <x14:axisColor rgb="FF000000"/>
            </x14:dataBar>
          </x14:cfRule>
          <xm:sqref>E5:E17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37.5" hidden="false" customHeight="true" outlineLevel="0" collapsed="false">
      <c r="A1" s="26" t="s">
        <v>135</v>
      </c>
      <c r="B1" s="26"/>
      <c r="C1" s="26"/>
      <c r="D1" s="26"/>
    </row>
    <row r="2" customFormat="false" ht="24" hidden="false" customHeight="true" outlineLevel="0" collapsed="false">
      <c r="A2" s="27" t="s">
        <v>136</v>
      </c>
      <c r="B2" s="27"/>
      <c r="C2" s="27"/>
      <c r="D2" s="27"/>
    </row>
    <row r="4" customFormat="false" ht="27.75" hidden="false" customHeight="true" outlineLevel="0" collapsed="false">
      <c r="B4" s="56" t="s">
        <v>137</v>
      </c>
      <c r="C4" s="57" t="n">
        <f aca="false">SUM('🧾 Despesas Fixas'!D:D)+SUM('🛒 Despesas Variáveis'!D:D)</f>
        <v>8802</v>
      </c>
    </row>
    <row r="5" customFormat="false" ht="27.75" hidden="false" customHeight="true" outlineLevel="0" collapsed="false">
      <c r="B5" s="56" t="s">
        <v>138</v>
      </c>
      <c r="C5" s="58" t="n">
        <v>6</v>
      </c>
    </row>
    <row r="6" customFormat="false" ht="27.75" hidden="false" customHeight="true" outlineLevel="0" collapsed="false">
      <c r="B6" s="56" t="s">
        <v>139</v>
      </c>
      <c r="C6" s="59" t="n">
        <f aca="false">C4*C5</f>
        <v>52812</v>
      </c>
    </row>
    <row r="7" customFormat="false" ht="12" hidden="false" customHeight="true" outlineLevel="0" collapsed="false"/>
    <row r="8" customFormat="false" ht="27.75" hidden="false" customHeight="true" outlineLevel="0" collapsed="false">
      <c r="B8" s="56" t="s">
        <v>140</v>
      </c>
      <c r="C8" s="60" t="n">
        <v>1500</v>
      </c>
    </row>
    <row r="9" customFormat="false" ht="27.75" hidden="false" customHeight="true" outlineLevel="0" collapsed="false">
      <c r="B9" s="56" t="s">
        <v>141</v>
      </c>
      <c r="C9" s="57" t="n">
        <f aca="false">MAX(0,C6-C8)</f>
        <v>51312</v>
      </c>
    </row>
    <row r="10" customFormat="false" ht="27.75" hidden="false" customHeight="true" outlineLevel="0" collapsed="false">
      <c r="B10" s="56" t="s">
        <v>142</v>
      </c>
      <c r="C10" s="58" t="n">
        <v>12</v>
      </c>
    </row>
    <row r="11" customFormat="false" ht="27.75" hidden="false" customHeight="true" outlineLevel="0" collapsed="false">
      <c r="B11" s="56" t="s">
        <v>143</v>
      </c>
      <c r="C11" s="59" t="n">
        <f aca="false">C9/C10</f>
        <v>4276</v>
      </c>
    </row>
    <row r="13" customFormat="false" ht="21.75" hidden="false" customHeight="true" outlineLevel="0" collapsed="false">
      <c r="B13" s="61" t="s">
        <v>144</v>
      </c>
      <c r="C13" s="61"/>
      <c r="D13" s="61"/>
    </row>
    <row r="14" customFormat="false" ht="15" hidden="false" customHeight="false" outlineLevel="0" collapsed="false">
      <c r="B14" s="61"/>
      <c r="C14" s="61"/>
      <c r="D14" s="61"/>
    </row>
    <row r="15" customFormat="false" ht="15" hidden="false" customHeight="false" outlineLevel="0" collapsed="false">
      <c r="B15" s="61"/>
      <c r="C15" s="61"/>
      <c r="D15" s="61"/>
    </row>
    <row r="16" customFormat="false" ht="15" hidden="false" customHeight="false" outlineLevel="0" collapsed="false">
      <c r="B16" s="61"/>
      <c r="C16" s="61"/>
      <c r="D16" s="61"/>
    </row>
    <row r="17" customFormat="false" ht="15" hidden="false" customHeight="false" outlineLevel="0" collapsed="false">
      <c r="B17" s="61"/>
      <c r="C17" s="61"/>
      <c r="D17" s="61"/>
    </row>
  </sheetData>
  <mergeCells count="3">
    <mergeCell ref="A1:D1"/>
    <mergeCell ref="A2:D2"/>
    <mergeCell ref="B13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37.5" hidden="false" customHeight="true" outlineLevel="0" collapsed="false">
      <c r="A1" s="38" t="s">
        <v>145</v>
      </c>
      <c r="B1" s="38"/>
      <c r="C1" s="38"/>
      <c r="D1" s="38"/>
      <c r="E1" s="38"/>
      <c r="F1" s="38"/>
    </row>
    <row r="2" customFormat="false" ht="24" hidden="false" customHeight="true" outlineLevel="0" collapsed="false">
      <c r="A2" s="39" t="s">
        <v>146</v>
      </c>
      <c r="B2" s="39"/>
      <c r="C2" s="39"/>
      <c r="D2" s="39"/>
      <c r="E2" s="39"/>
      <c r="F2" s="39"/>
    </row>
    <row r="4" customFormat="false" ht="27.75" hidden="false" customHeight="true" outlineLevel="0" collapsed="false">
      <c r="A4" s="28" t="s">
        <v>147</v>
      </c>
      <c r="B4" s="28" t="s">
        <v>148</v>
      </c>
      <c r="C4" s="28" t="s">
        <v>149</v>
      </c>
      <c r="D4" s="28" t="s">
        <v>150</v>
      </c>
      <c r="E4" s="28" t="s">
        <v>121</v>
      </c>
      <c r="F4" s="28" t="s">
        <v>151</v>
      </c>
    </row>
    <row r="5" customFormat="false" ht="15" hidden="false" customHeight="false" outlineLevel="0" collapsed="false">
      <c r="A5" s="30" t="s">
        <v>152</v>
      </c>
      <c r="B5" s="29" t="s">
        <v>153</v>
      </c>
      <c r="C5" s="18" t="n">
        <v>2000</v>
      </c>
      <c r="D5" s="62" t="n">
        <v>0.009</v>
      </c>
      <c r="E5" s="18" t="n">
        <f aca="false">C5*(1+D5)</f>
        <v>2018</v>
      </c>
      <c r="F5" s="63" t="n">
        <f aca="false">E5-C5</f>
        <v>17.9999999999998</v>
      </c>
    </row>
    <row r="6" customFormat="false" ht="15" hidden="false" customHeight="false" outlineLevel="0" collapsed="false">
      <c r="A6" s="32" t="s">
        <v>154</v>
      </c>
      <c r="B6" s="31" t="s">
        <v>153</v>
      </c>
      <c r="C6" s="22" t="n">
        <v>1500</v>
      </c>
      <c r="D6" s="64" t="n">
        <v>0.011</v>
      </c>
      <c r="E6" s="22" t="n">
        <f aca="false">C6*(1+D6)</f>
        <v>1516.5</v>
      </c>
      <c r="F6" s="65" t="n">
        <f aca="false">E6-C6</f>
        <v>16.4999999999998</v>
      </c>
    </row>
    <row r="7" customFormat="false" ht="15" hidden="false" customHeight="false" outlineLevel="0" collapsed="false">
      <c r="A7" s="30" t="s">
        <v>155</v>
      </c>
      <c r="B7" s="29" t="s">
        <v>156</v>
      </c>
      <c r="C7" s="18" t="n">
        <v>800</v>
      </c>
      <c r="D7" s="62" t="n">
        <v>0.008</v>
      </c>
      <c r="E7" s="18" t="n">
        <f aca="false">C7*(1+D7)</f>
        <v>806.4</v>
      </c>
      <c r="F7" s="63" t="n">
        <f aca="false">E7-C7</f>
        <v>6.39999999999998</v>
      </c>
    </row>
    <row r="8" customFormat="false" ht="15" hidden="false" customHeight="false" outlineLevel="0" collapsed="false">
      <c r="A8" s="32" t="s">
        <v>157</v>
      </c>
      <c r="B8" s="31" t="s">
        <v>158</v>
      </c>
      <c r="C8" s="22" t="n">
        <v>500</v>
      </c>
      <c r="D8" s="64" t="n">
        <v>0.025</v>
      </c>
      <c r="E8" s="22" t="n">
        <f aca="false">C8*(1+D8)</f>
        <v>512.5</v>
      </c>
      <c r="F8" s="65" t="n">
        <f aca="false">E8-C8</f>
        <v>12.5</v>
      </c>
    </row>
    <row r="9" customFormat="false" ht="15" hidden="false" customHeight="false" outlineLevel="0" collapsed="false">
      <c r="A9" s="30" t="s">
        <v>159</v>
      </c>
      <c r="B9" s="29" t="s">
        <v>160</v>
      </c>
      <c r="C9" s="18" t="n">
        <v>300</v>
      </c>
      <c r="D9" s="62" t="n">
        <v>0.03</v>
      </c>
      <c r="E9" s="18" t="n">
        <f aca="false">C9*(1+D9)</f>
        <v>309</v>
      </c>
      <c r="F9" s="63" t="n">
        <f aca="false">E9-C9</f>
        <v>9</v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</row>
    <row r="11" customFormat="false" ht="15" hidden="false" customHeight="false" outlineLevel="0" collapsed="false">
      <c r="A11" s="34"/>
      <c r="B11" s="34"/>
      <c r="C11" s="34"/>
      <c r="D11" s="34"/>
      <c r="E11" s="34"/>
      <c r="F11" s="34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</row>
    <row r="13" customFormat="false" ht="31.5" hidden="false" customHeight="true" outlineLevel="0" collapsed="false">
      <c r="A13" s="66" t="s">
        <v>161</v>
      </c>
      <c r="B13" s="66"/>
      <c r="C13" s="67" t="n">
        <f aca="false">SUM(C5:C12)</f>
        <v>5100</v>
      </c>
      <c r="D13" s="68"/>
      <c r="E13" s="67" t="n">
        <f aca="false">SUM(E5:E12)</f>
        <v>5162.4</v>
      </c>
      <c r="F13" s="69" t="n">
        <f aca="false">SUM(F5:F12)</f>
        <v>62.3999999999995</v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</row>
  </sheetData>
  <mergeCells count="3">
    <mergeCell ref="A1:F1"/>
    <mergeCell ref="A2:F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2026-04-25T19:47:56Z</dcterms:created>
  <dc:creator>openpyxl</dc:creator>
  <dc:description/>
  <dc:language>en-US</dc:language>
  <cp:lastModifiedBy/>
  <dcterms:modified xsi:type="dcterms:W3CDTF">2026-04-25T19:47:56Z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